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izer\Downloads\"/>
    </mc:Choice>
  </mc:AlternateContent>
  <xr:revisionPtr revIDLastSave="0" documentId="13_ncr:1_{C0BF2736-32FB-4548-9072-8BB733587108}" xr6:coauthVersionLast="47" xr6:coauthVersionMax="47" xr10:uidLastSave="{00000000-0000-0000-0000-000000000000}"/>
  <bookViews>
    <workbookView xWindow="28680" yWindow="-120" windowWidth="29040" windowHeight="15720" xr2:uid="{CD8C0E9F-0EA7-45B3-BA64-46EE1E8AE24F}"/>
  </bookViews>
  <sheets>
    <sheet name="sheet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6" i="1" l="1"/>
  <c r="R16" i="1"/>
  <c r="Q16" i="1"/>
  <c r="N16" i="1"/>
  <c r="T16" i="1" s="1"/>
  <c r="S15" i="1"/>
  <c r="R15" i="1"/>
  <c r="Q15" i="1"/>
  <c r="N15" i="1"/>
  <c r="T15" i="1" s="1"/>
  <c r="S14" i="1"/>
  <c r="R14" i="1"/>
  <c r="Q14" i="1"/>
  <c r="N14" i="1"/>
  <c r="T14" i="1" s="1"/>
  <c r="T13" i="1"/>
  <c r="S13" i="1"/>
  <c r="R13" i="1"/>
  <c r="Q13" i="1"/>
  <c r="N13" i="1"/>
  <c r="S12" i="1"/>
  <c r="R12" i="1"/>
  <c r="Q12" i="1"/>
  <c r="N12" i="1"/>
  <c r="T12" i="1" s="1"/>
  <c r="S11" i="1"/>
  <c r="R11" i="1"/>
  <c r="Q11" i="1"/>
  <c r="N11" i="1"/>
  <c r="T11" i="1" s="1"/>
  <c r="S10" i="1"/>
  <c r="R10" i="1"/>
  <c r="Q10" i="1"/>
  <c r="N10" i="1"/>
  <c r="T10" i="1" s="1"/>
  <c r="T9" i="1"/>
  <c r="S9" i="1"/>
  <c r="R9" i="1"/>
  <c r="Q9" i="1"/>
  <c r="N9" i="1"/>
  <c r="S8" i="1"/>
  <c r="R8" i="1"/>
  <c r="Q8" i="1"/>
  <c r="N8" i="1"/>
  <c r="T8" i="1" s="1"/>
  <c r="S7" i="1"/>
  <c r="R7" i="1"/>
  <c r="Q7" i="1"/>
  <c r="N7" i="1"/>
  <c r="T7" i="1" s="1"/>
  <c r="S6" i="1"/>
  <c r="R6" i="1"/>
  <c r="Q6" i="1"/>
  <c r="N6" i="1"/>
  <c r="T6" i="1" s="1"/>
  <c r="T5" i="1"/>
  <c r="S5" i="1"/>
  <c r="R5" i="1"/>
  <c r="Q5" i="1"/>
  <c r="N5" i="1"/>
  <c r="S4" i="1"/>
  <c r="R4" i="1"/>
  <c r="Q4" i="1"/>
  <c r="N4" i="1"/>
  <c r="T4" i="1" s="1"/>
  <c r="S3" i="1"/>
  <c r="R3" i="1"/>
  <c r="Q3" i="1"/>
  <c r="N3" i="1"/>
  <c r="T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S2" i="1"/>
  <c r="R2" i="1"/>
  <c r="Q2" i="1"/>
  <c r="N2" i="1"/>
  <c r="T2" i="1" s="1"/>
</calcChain>
</file>

<file path=xl/sharedStrings.xml><?xml version="1.0" encoding="utf-8"?>
<sst xmlns="http://schemas.openxmlformats.org/spreadsheetml/2006/main" count="112" uniqueCount="67">
  <si>
    <t>S.no</t>
  </si>
  <si>
    <t>Market</t>
  </si>
  <si>
    <t>NTID</t>
  </si>
  <si>
    <t>Employee Name</t>
  </si>
  <si>
    <t>Designation</t>
  </si>
  <si>
    <t>Weekly Days</t>
  </si>
  <si>
    <t>Payroll Days</t>
  </si>
  <si>
    <t>Attendance cycle</t>
  </si>
  <si>
    <t>Pay Cycle</t>
  </si>
  <si>
    <t>Salary</t>
  </si>
  <si>
    <t>Commission</t>
  </si>
  <si>
    <t>Bonus</t>
  </si>
  <si>
    <t>Additional Pay</t>
  </si>
  <si>
    <t>Total</t>
  </si>
  <si>
    <t>Total Working Day</t>
  </si>
  <si>
    <t>Hourly Rate</t>
  </si>
  <si>
    <t>Hours</t>
  </si>
  <si>
    <t>OT Rate</t>
  </si>
  <si>
    <t>OT Hours</t>
  </si>
  <si>
    <t>Net Salary</t>
  </si>
  <si>
    <t>ADP</t>
  </si>
  <si>
    <t>Check</t>
  </si>
  <si>
    <t>Head Office</t>
  </si>
  <si>
    <t>Mohammed Naseeruddin</t>
  </si>
  <si>
    <t>Accounts</t>
  </si>
  <si>
    <t>Sep 14 to Sep 27</t>
  </si>
  <si>
    <t>Sep 16 to Sep 30</t>
  </si>
  <si>
    <t>naseeruddin@texasmobilepcs.com</t>
  </si>
  <si>
    <t>Salman Shaikh</t>
  </si>
  <si>
    <t>Admin - Office</t>
  </si>
  <si>
    <t>msalman@texasmobilepcs.com</t>
  </si>
  <si>
    <t>Muhammad Kamran</t>
  </si>
  <si>
    <t>Aug 31 to Sep 13</t>
  </si>
  <si>
    <t>Sep 1 to Sep 15</t>
  </si>
  <si>
    <t>kamrant@techno-communications.com</t>
  </si>
  <si>
    <t>Lizbeth Acosta</t>
  </si>
  <si>
    <t>QA - Surveillance</t>
  </si>
  <si>
    <t>liz@techno-communications.com</t>
  </si>
  <si>
    <t>Faizan Suchwani</t>
  </si>
  <si>
    <t>HR - Comp &amp; Ben &amp; Leasing</t>
  </si>
  <si>
    <t>faizan@techno-communications.com</t>
  </si>
  <si>
    <t>Sultan Hussain</t>
  </si>
  <si>
    <t>HR - Recruitment</t>
  </si>
  <si>
    <t>sultan@texasmobilepcs.com</t>
  </si>
  <si>
    <t>Shoaib Sarang</t>
  </si>
  <si>
    <t>sarang@texasmobilepcs.com</t>
  </si>
  <si>
    <t>Alishba Ahmed</t>
  </si>
  <si>
    <t>alishbaahmed@texasmobilepcs.com</t>
  </si>
  <si>
    <t>Syed Salman</t>
  </si>
  <si>
    <t>IT</t>
  </si>
  <si>
    <t>syed.salman@techno-communications.com</t>
  </si>
  <si>
    <t>Nabeel Hussain</t>
  </si>
  <si>
    <t>KPI's</t>
  </si>
  <si>
    <t>nabeel@techno-communications.com</t>
  </si>
  <si>
    <t>Manahil Tariq</t>
  </si>
  <si>
    <t>Leasing</t>
  </si>
  <si>
    <t>tariqmanahil@texasmobilepcs.com</t>
  </si>
  <si>
    <t>Muhammad Haseeb Siddiqui</t>
  </si>
  <si>
    <t>Admin - Maintenance</t>
  </si>
  <si>
    <t>haseeb@techno-communications.com</t>
  </si>
  <si>
    <t>Ghani Ur Rehman</t>
  </si>
  <si>
    <t>Operation</t>
  </si>
  <si>
    <t>ghani@texasmobilepcs.com</t>
  </si>
  <si>
    <t>Qamar Shahzad</t>
  </si>
  <si>
    <t>qamar@texasmobilepcs.com</t>
  </si>
  <si>
    <t>AKBER ALI</t>
  </si>
  <si>
    <t>akber@techno-communications.com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</si>
</sst>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1736-6DFC-4EA1-B25A-6300FA26DF73}">
  <dimension ref="A1:V16"/>
  <sheetViews>
    <sheetView tabSelected="1" workbookViewId="0">
      <selection activeCell="D28" sqref="D28"/>
    </sheetView>
  </sheetViews>
  <sheetFormatPr defaultRowHeight="15" x14ac:dyDescent="0.25"/>
  <cols>
    <col min="1" max="1" width="5" style="3" bestFit="1" customWidth="1"/>
    <col min="2" max="2" width="11.140625" style="3" bestFit="1" customWidth="1"/>
    <col min="3" max="3" width="41.140625" style="3" bestFit="1" customWidth="1"/>
    <col min="4" max="4" width="27" style="3" bestFit="1" customWidth="1"/>
    <col min="5" max="5" width="24.85546875" style="3" bestFit="1" customWidth="1"/>
    <col min="6" max="6" width="12.5703125" style="3" bestFit="1" customWidth="1"/>
    <col min="7" max="7" width="12" style="3" bestFit="1" customWidth="1"/>
    <col min="8" max="8" width="16.5703125" style="3" bestFit="1" customWidth="1"/>
    <col min="9" max="9" width="14.85546875" style="3" bestFit="1" customWidth="1"/>
    <col min="10" max="10" width="6.42578125" style="3" bestFit="1" customWidth="1"/>
    <col min="11" max="11" width="12.42578125" style="3" bestFit="1" customWidth="1"/>
    <col min="12" max="12" width="6.5703125" style="3" bestFit="1" customWidth="1"/>
    <col min="13" max="13" width="13.85546875" style="3" bestFit="1" customWidth="1"/>
    <col min="14" max="14" width="6.42578125" style="3" bestFit="1" customWidth="1"/>
    <col min="15" max="15" width="17.42578125" style="3" bestFit="1" customWidth="1"/>
    <col min="16" max="16" width="11.5703125" style="3" bestFit="1" customWidth="1"/>
    <col min="17" max="17" width="6.42578125" style="3" bestFit="1" customWidth="1"/>
    <col min="18" max="18" width="8" style="3" bestFit="1" customWidth="1"/>
    <col min="19" max="19" width="9.28515625" style="3" bestFit="1" customWidth="1"/>
    <col min="20" max="20" width="10.140625" style="3" bestFit="1" customWidth="1"/>
    <col min="21" max="21" width="4.7109375" style="3" bestFit="1" customWidth="1"/>
    <col min="22" max="22" width="6.7109375" style="3" bestFit="1" customWidth="1"/>
    <col min="23" max="16384" width="9.140625" style="3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2" t="s">
        <v>22</v>
      </c>
      <c r="C2" s="2" t="s">
        <v>27</v>
      </c>
      <c r="D2" s="2" t="s">
        <v>23</v>
      </c>
      <c r="E2" s="2" t="s">
        <v>24</v>
      </c>
      <c r="F2" s="2">
        <v>5</v>
      </c>
      <c r="G2" s="2">
        <v>15</v>
      </c>
      <c r="H2" s="2" t="s">
        <v>25</v>
      </c>
      <c r="I2" s="2" t="s">
        <v>26</v>
      </c>
      <c r="J2" s="4">
        <v>100</v>
      </c>
      <c r="K2" s="2">
        <v>50</v>
      </c>
      <c r="L2" s="2">
        <v>20</v>
      </c>
      <c r="M2" s="2">
        <v>0</v>
      </c>
      <c r="N2" s="5">
        <f>SUM(J2:M2)</f>
        <v>170</v>
      </c>
      <c r="O2" s="2">
        <v>14</v>
      </c>
      <c r="P2" s="2">
        <v>2</v>
      </c>
      <c r="Q2" s="2">
        <f>8*(F2*2)</f>
        <v>80</v>
      </c>
      <c r="R2" s="2">
        <f>P2*1.5</f>
        <v>3</v>
      </c>
      <c r="S2" s="2">
        <f>2*(F2*2)</f>
        <v>20</v>
      </c>
      <c r="T2" s="5">
        <f>N2</f>
        <v>170</v>
      </c>
      <c r="U2" s="2">
        <v>100</v>
      </c>
      <c r="V2" s="2">
        <v>70</v>
      </c>
    </row>
    <row r="3" spans="1:22" x14ac:dyDescent="0.25">
      <c r="A3" s="2">
        <f>A2+1</f>
        <v>2</v>
      </c>
      <c r="B3" s="2" t="s">
        <v>22</v>
      </c>
      <c r="C3" s="2" t="s">
        <v>30</v>
      </c>
      <c r="D3" s="2" t="s">
        <v>28</v>
      </c>
      <c r="E3" s="2" t="s">
        <v>29</v>
      </c>
      <c r="F3" s="2">
        <v>6</v>
      </c>
      <c r="G3" s="2">
        <v>15</v>
      </c>
      <c r="H3" s="2" t="s">
        <v>25</v>
      </c>
      <c r="I3" s="2" t="s">
        <v>26</v>
      </c>
      <c r="J3" s="4">
        <v>100</v>
      </c>
      <c r="K3" s="2">
        <v>50</v>
      </c>
      <c r="L3" s="2">
        <v>20</v>
      </c>
      <c r="M3" s="2">
        <v>0</v>
      </c>
      <c r="N3" s="5">
        <f t="shared" ref="N3:N16" si="0">SUM(J3:M3)</f>
        <v>170</v>
      </c>
      <c r="O3" s="2">
        <v>14</v>
      </c>
      <c r="P3" s="2">
        <v>2</v>
      </c>
      <c r="Q3" s="2">
        <f t="shared" ref="Q3:Q16" si="1">8*(F3*2)</f>
        <v>96</v>
      </c>
      <c r="R3" s="2">
        <f t="shared" ref="R3:R16" si="2">P3*1.5</f>
        <v>3</v>
      </c>
      <c r="S3" s="2">
        <f t="shared" ref="S3:S16" si="3">2*(F3*2)</f>
        <v>24</v>
      </c>
      <c r="T3" s="5">
        <f t="shared" ref="T3:T16" si="4">N3</f>
        <v>170</v>
      </c>
      <c r="U3" s="2">
        <v>100</v>
      </c>
      <c r="V3" s="2">
        <v>70</v>
      </c>
    </row>
    <row r="4" spans="1:22" x14ac:dyDescent="0.25">
      <c r="A4" s="2">
        <f t="shared" ref="A4:A16" si="5">A3+1</f>
        <v>3</v>
      </c>
      <c r="B4" s="2" t="s">
        <v>22</v>
      </c>
      <c r="C4" s="2" t="s">
        <v>34</v>
      </c>
      <c r="D4" s="2" t="s">
        <v>31</v>
      </c>
      <c r="E4" s="2" t="s">
        <v>29</v>
      </c>
      <c r="F4" s="2">
        <v>6</v>
      </c>
      <c r="G4" s="2">
        <v>15</v>
      </c>
      <c r="H4" s="2" t="s">
        <v>32</v>
      </c>
      <c r="I4" s="2" t="s">
        <v>33</v>
      </c>
      <c r="J4" s="4">
        <v>100</v>
      </c>
      <c r="K4" s="2">
        <v>50</v>
      </c>
      <c r="L4" s="2">
        <v>20</v>
      </c>
      <c r="M4" s="2">
        <v>0</v>
      </c>
      <c r="N4" s="5">
        <f t="shared" si="0"/>
        <v>170</v>
      </c>
      <c r="O4" s="2">
        <v>14</v>
      </c>
      <c r="P4" s="2">
        <v>2</v>
      </c>
      <c r="Q4" s="2">
        <f t="shared" si="1"/>
        <v>96</v>
      </c>
      <c r="R4" s="2">
        <f t="shared" si="2"/>
        <v>3</v>
      </c>
      <c r="S4" s="2">
        <f t="shared" si="3"/>
        <v>24</v>
      </c>
      <c r="T4" s="5">
        <f t="shared" si="4"/>
        <v>170</v>
      </c>
      <c r="U4" s="2">
        <v>100</v>
      </c>
      <c r="V4" s="2">
        <v>70</v>
      </c>
    </row>
    <row r="5" spans="1:22" x14ac:dyDescent="0.25">
      <c r="A5" s="2">
        <f t="shared" si="5"/>
        <v>4</v>
      </c>
      <c r="B5" s="2" t="s">
        <v>22</v>
      </c>
      <c r="C5" s="2" t="s">
        <v>37</v>
      </c>
      <c r="D5" s="2" t="s">
        <v>35</v>
      </c>
      <c r="E5" s="2" t="s">
        <v>36</v>
      </c>
      <c r="F5" s="2">
        <v>5</v>
      </c>
      <c r="G5" s="2">
        <v>15</v>
      </c>
      <c r="H5" s="2" t="s">
        <v>25</v>
      </c>
      <c r="I5" s="2" t="s">
        <v>26</v>
      </c>
      <c r="J5" s="4">
        <v>100</v>
      </c>
      <c r="K5" s="2">
        <v>50</v>
      </c>
      <c r="L5" s="2">
        <v>20</v>
      </c>
      <c r="M5" s="2">
        <v>0</v>
      </c>
      <c r="N5" s="5">
        <f t="shared" si="0"/>
        <v>170</v>
      </c>
      <c r="O5" s="2">
        <v>14</v>
      </c>
      <c r="P5" s="2">
        <v>2</v>
      </c>
      <c r="Q5" s="2">
        <f t="shared" si="1"/>
        <v>80</v>
      </c>
      <c r="R5" s="2">
        <f t="shared" si="2"/>
        <v>3</v>
      </c>
      <c r="S5" s="2">
        <f t="shared" si="3"/>
        <v>20</v>
      </c>
      <c r="T5" s="5">
        <f t="shared" si="4"/>
        <v>170</v>
      </c>
      <c r="U5" s="2">
        <v>100</v>
      </c>
      <c r="V5" s="2">
        <v>70</v>
      </c>
    </row>
    <row r="6" spans="1:22" x14ac:dyDescent="0.25">
      <c r="A6" s="2">
        <f t="shared" si="5"/>
        <v>5</v>
      </c>
      <c r="B6" s="2" t="s">
        <v>22</v>
      </c>
      <c r="C6" s="2" t="s">
        <v>40</v>
      </c>
      <c r="D6" s="2" t="s">
        <v>38</v>
      </c>
      <c r="E6" s="2" t="s">
        <v>39</v>
      </c>
      <c r="F6" s="2">
        <v>6</v>
      </c>
      <c r="G6" s="2">
        <v>15</v>
      </c>
      <c r="H6" s="2" t="s">
        <v>25</v>
      </c>
      <c r="I6" s="2" t="s">
        <v>26</v>
      </c>
      <c r="J6" s="4">
        <v>100</v>
      </c>
      <c r="K6" s="2">
        <v>50</v>
      </c>
      <c r="L6" s="2">
        <v>20</v>
      </c>
      <c r="M6" s="2">
        <v>0</v>
      </c>
      <c r="N6" s="5">
        <f t="shared" si="0"/>
        <v>170</v>
      </c>
      <c r="O6" s="2">
        <v>14</v>
      </c>
      <c r="P6" s="2">
        <v>2</v>
      </c>
      <c r="Q6" s="2">
        <f t="shared" si="1"/>
        <v>96</v>
      </c>
      <c r="R6" s="2">
        <f t="shared" si="2"/>
        <v>3</v>
      </c>
      <c r="S6" s="2">
        <f t="shared" si="3"/>
        <v>24</v>
      </c>
      <c r="T6" s="5">
        <f t="shared" si="4"/>
        <v>170</v>
      </c>
      <c r="U6" s="2">
        <v>100</v>
      </c>
      <c r="V6" s="2">
        <v>70</v>
      </c>
    </row>
    <row r="7" spans="1:22" x14ac:dyDescent="0.25">
      <c r="A7" s="2">
        <f t="shared" si="5"/>
        <v>6</v>
      </c>
      <c r="B7" s="2" t="s">
        <v>22</v>
      </c>
      <c r="C7" s="2" t="s">
        <v>43</v>
      </c>
      <c r="D7" s="2" t="s">
        <v>41</v>
      </c>
      <c r="E7" s="2" t="s">
        <v>42</v>
      </c>
      <c r="F7" s="2">
        <v>6</v>
      </c>
      <c r="G7" s="2">
        <v>15</v>
      </c>
      <c r="H7" s="2" t="s">
        <v>25</v>
      </c>
      <c r="I7" s="2" t="s">
        <v>26</v>
      </c>
      <c r="J7" s="4">
        <v>100</v>
      </c>
      <c r="K7" s="2">
        <v>50</v>
      </c>
      <c r="L7" s="2">
        <v>20</v>
      </c>
      <c r="M7" s="2">
        <v>0</v>
      </c>
      <c r="N7" s="5">
        <f t="shared" si="0"/>
        <v>170</v>
      </c>
      <c r="O7" s="2">
        <v>14</v>
      </c>
      <c r="P7" s="2">
        <v>2</v>
      </c>
      <c r="Q7" s="2">
        <f t="shared" si="1"/>
        <v>96</v>
      </c>
      <c r="R7" s="2">
        <f t="shared" si="2"/>
        <v>3</v>
      </c>
      <c r="S7" s="2">
        <f t="shared" si="3"/>
        <v>24</v>
      </c>
      <c r="T7" s="5">
        <f t="shared" si="4"/>
        <v>170</v>
      </c>
      <c r="U7" s="2">
        <v>100</v>
      </c>
      <c r="V7" s="2">
        <v>70</v>
      </c>
    </row>
    <row r="8" spans="1:22" x14ac:dyDescent="0.25">
      <c r="A8" s="2">
        <f t="shared" si="5"/>
        <v>7</v>
      </c>
      <c r="B8" s="2" t="s">
        <v>22</v>
      </c>
      <c r="C8" s="2" t="s">
        <v>45</v>
      </c>
      <c r="D8" s="2" t="s">
        <v>44</v>
      </c>
      <c r="E8" s="2" t="s">
        <v>42</v>
      </c>
      <c r="F8" s="2">
        <v>6</v>
      </c>
      <c r="G8" s="2">
        <v>15</v>
      </c>
      <c r="H8" s="2" t="s">
        <v>25</v>
      </c>
      <c r="I8" s="2" t="s">
        <v>26</v>
      </c>
      <c r="J8" s="4">
        <v>100</v>
      </c>
      <c r="K8" s="2">
        <v>50</v>
      </c>
      <c r="L8" s="2">
        <v>20</v>
      </c>
      <c r="M8" s="2">
        <v>0</v>
      </c>
      <c r="N8" s="5">
        <f t="shared" si="0"/>
        <v>170</v>
      </c>
      <c r="O8" s="2">
        <v>14</v>
      </c>
      <c r="P8" s="2">
        <v>2</v>
      </c>
      <c r="Q8" s="2">
        <f t="shared" si="1"/>
        <v>96</v>
      </c>
      <c r="R8" s="2">
        <f t="shared" si="2"/>
        <v>3</v>
      </c>
      <c r="S8" s="2">
        <f t="shared" si="3"/>
        <v>24</v>
      </c>
      <c r="T8" s="5">
        <f t="shared" si="4"/>
        <v>170</v>
      </c>
      <c r="U8" s="2">
        <v>100</v>
      </c>
      <c r="V8" s="2">
        <v>70</v>
      </c>
    </row>
    <row r="9" spans="1:22" x14ac:dyDescent="0.25">
      <c r="A9" s="2">
        <f t="shared" si="5"/>
        <v>8</v>
      </c>
      <c r="B9" s="2" t="s">
        <v>22</v>
      </c>
      <c r="C9" s="2" t="s">
        <v>47</v>
      </c>
      <c r="D9" s="2" t="s">
        <v>46</v>
      </c>
      <c r="E9" s="2" t="s">
        <v>24</v>
      </c>
      <c r="F9" s="2">
        <v>5</v>
      </c>
      <c r="G9" s="2">
        <v>15</v>
      </c>
      <c r="H9" s="2" t="s">
        <v>25</v>
      </c>
      <c r="I9" s="2" t="s">
        <v>26</v>
      </c>
      <c r="J9" s="4">
        <v>100</v>
      </c>
      <c r="K9" s="2">
        <v>50</v>
      </c>
      <c r="L9" s="2">
        <v>20</v>
      </c>
      <c r="M9" s="2">
        <v>0</v>
      </c>
      <c r="N9" s="5">
        <f t="shared" si="0"/>
        <v>170</v>
      </c>
      <c r="O9" s="2">
        <v>14</v>
      </c>
      <c r="P9" s="2">
        <v>2</v>
      </c>
      <c r="Q9" s="2">
        <f t="shared" si="1"/>
        <v>80</v>
      </c>
      <c r="R9" s="2">
        <f t="shared" si="2"/>
        <v>3</v>
      </c>
      <c r="S9" s="2">
        <f t="shared" si="3"/>
        <v>20</v>
      </c>
      <c r="T9" s="5">
        <f t="shared" si="4"/>
        <v>170</v>
      </c>
      <c r="U9" s="2">
        <v>100</v>
      </c>
      <c r="V9" s="2">
        <v>70</v>
      </c>
    </row>
    <row r="10" spans="1:22" x14ac:dyDescent="0.25">
      <c r="A10" s="2">
        <f t="shared" si="5"/>
        <v>9</v>
      </c>
      <c r="B10" s="2" t="s">
        <v>22</v>
      </c>
      <c r="C10" s="2" t="s">
        <v>50</v>
      </c>
      <c r="D10" s="2" t="s">
        <v>48</v>
      </c>
      <c r="E10" s="2" t="s">
        <v>49</v>
      </c>
      <c r="F10" s="2">
        <v>6</v>
      </c>
      <c r="G10" s="2">
        <v>15</v>
      </c>
      <c r="H10" s="2" t="s">
        <v>25</v>
      </c>
      <c r="I10" s="2" t="s">
        <v>26</v>
      </c>
      <c r="J10" s="4">
        <v>100</v>
      </c>
      <c r="K10" s="2">
        <v>50</v>
      </c>
      <c r="L10" s="2">
        <v>20</v>
      </c>
      <c r="M10" s="2">
        <v>0</v>
      </c>
      <c r="N10" s="5">
        <f t="shared" si="0"/>
        <v>170</v>
      </c>
      <c r="O10" s="2">
        <v>14</v>
      </c>
      <c r="P10" s="2">
        <v>2</v>
      </c>
      <c r="Q10" s="2">
        <f t="shared" si="1"/>
        <v>96</v>
      </c>
      <c r="R10" s="2">
        <f t="shared" si="2"/>
        <v>3</v>
      </c>
      <c r="S10" s="2">
        <f t="shared" si="3"/>
        <v>24</v>
      </c>
      <c r="T10" s="5">
        <f t="shared" si="4"/>
        <v>170</v>
      </c>
      <c r="U10" s="2">
        <v>100</v>
      </c>
      <c r="V10" s="2">
        <v>70</v>
      </c>
    </row>
    <row r="11" spans="1:22" x14ac:dyDescent="0.25">
      <c r="A11" s="2">
        <f t="shared" si="5"/>
        <v>10</v>
      </c>
      <c r="B11" s="2" t="s">
        <v>22</v>
      </c>
      <c r="C11" s="2" t="s">
        <v>53</v>
      </c>
      <c r="D11" s="2" t="s">
        <v>51</v>
      </c>
      <c r="E11" s="2" t="s">
        <v>52</v>
      </c>
      <c r="F11" s="2">
        <v>6</v>
      </c>
      <c r="G11" s="2">
        <v>15</v>
      </c>
      <c r="H11" s="2" t="s">
        <v>25</v>
      </c>
      <c r="I11" s="2" t="s">
        <v>26</v>
      </c>
      <c r="J11" s="4">
        <v>100</v>
      </c>
      <c r="K11" s="2">
        <v>50</v>
      </c>
      <c r="L11" s="2">
        <v>20</v>
      </c>
      <c r="M11" s="2">
        <v>0</v>
      </c>
      <c r="N11" s="5">
        <f t="shared" si="0"/>
        <v>170</v>
      </c>
      <c r="O11" s="2">
        <v>14</v>
      </c>
      <c r="P11" s="2">
        <v>2</v>
      </c>
      <c r="Q11" s="2">
        <f t="shared" si="1"/>
        <v>96</v>
      </c>
      <c r="R11" s="2">
        <f t="shared" si="2"/>
        <v>3</v>
      </c>
      <c r="S11" s="2">
        <f t="shared" si="3"/>
        <v>24</v>
      </c>
      <c r="T11" s="5">
        <f t="shared" si="4"/>
        <v>170</v>
      </c>
      <c r="U11" s="2">
        <v>100</v>
      </c>
      <c r="V11" s="2">
        <v>70</v>
      </c>
    </row>
    <row r="12" spans="1:22" x14ac:dyDescent="0.25">
      <c r="A12" s="2">
        <f t="shared" si="5"/>
        <v>11</v>
      </c>
      <c r="B12" s="2" t="s">
        <v>22</v>
      </c>
      <c r="C12" s="2" t="s">
        <v>56</v>
      </c>
      <c r="D12" s="2" t="s">
        <v>54</v>
      </c>
      <c r="E12" s="2" t="s">
        <v>55</v>
      </c>
      <c r="F12" s="2">
        <v>5</v>
      </c>
      <c r="G12" s="2">
        <v>15</v>
      </c>
      <c r="H12" s="2" t="s">
        <v>25</v>
      </c>
      <c r="I12" s="2" t="s">
        <v>26</v>
      </c>
      <c r="J12" s="4">
        <v>100</v>
      </c>
      <c r="K12" s="2">
        <v>50</v>
      </c>
      <c r="L12" s="2">
        <v>20</v>
      </c>
      <c r="M12" s="2">
        <v>0</v>
      </c>
      <c r="N12" s="5">
        <f t="shared" si="0"/>
        <v>170</v>
      </c>
      <c r="O12" s="2">
        <v>14</v>
      </c>
      <c r="P12" s="2">
        <v>2</v>
      </c>
      <c r="Q12" s="2">
        <f t="shared" si="1"/>
        <v>80</v>
      </c>
      <c r="R12" s="2">
        <f t="shared" si="2"/>
        <v>3</v>
      </c>
      <c r="S12" s="2">
        <f t="shared" si="3"/>
        <v>20</v>
      </c>
      <c r="T12" s="5">
        <f t="shared" si="4"/>
        <v>170</v>
      </c>
      <c r="U12" s="2">
        <v>100</v>
      </c>
      <c r="V12" s="2">
        <v>70</v>
      </c>
    </row>
    <row r="13" spans="1:22" x14ac:dyDescent="0.25">
      <c r="A13" s="2">
        <f t="shared" si="5"/>
        <v>12</v>
      </c>
      <c r="B13" s="2" t="s">
        <v>22</v>
      </c>
      <c r="C13" s="2" t="s">
        <v>59</v>
      </c>
      <c r="D13" s="2" t="s">
        <v>57</v>
      </c>
      <c r="E13" s="2" t="s">
        <v>58</v>
      </c>
      <c r="F13" s="2">
        <v>6</v>
      </c>
      <c r="G13" s="2">
        <v>15</v>
      </c>
      <c r="H13" s="2" t="s">
        <v>25</v>
      </c>
      <c r="I13" s="2" t="s">
        <v>26</v>
      </c>
      <c r="J13" s="4">
        <v>100</v>
      </c>
      <c r="K13" s="2">
        <v>50</v>
      </c>
      <c r="L13" s="2">
        <v>20</v>
      </c>
      <c r="M13" s="2">
        <v>0</v>
      </c>
      <c r="N13" s="5">
        <f t="shared" si="0"/>
        <v>170</v>
      </c>
      <c r="O13" s="2">
        <v>14</v>
      </c>
      <c r="P13" s="2">
        <v>2</v>
      </c>
      <c r="Q13" s="2">
        <f t="shared" si="1"/>
        <v>96</v>
      </c>
      <c r="R13" s="2">
        <f t="shared" si="2"/>
        <v>3</v>
      </c>
      <c r="S13" s="2">
        <f t="shared" si="3"/>
        <v>24</v>
      </c>
      <c r="T13" s="5">
        <f t="shared" si="4"/>
        <v>170</v>
      </c>
      <c r="U13" s="2">
        <v>100</v>
      </c>
      <c r="V13" s="2">
        <v>70</v>
      </c>
    </row>
    <row r="14" spans="1:22" x14ac:dyDescent="0.25">
      <c r="A14" s="2">
        <f t="shared" si="5"/>
        <v>13</v>
      </c>
      <c r="B14" s="2" t="s">
        <v>22</v>
      </c>
      <c r="C14" s="2" t="s">
        <v>62</v>
      </c>
      <c r="D14" s="2" t="s">
        <v>60</v>
      </c>
      <c r="E14" s="2" t="s">
        <v>61</v>
      </c>
      <c r="F14" s="2">
        <v>6</v>
      </c>
      <c r="G14" s="2">
        <v>15</v>
      </c>
      <c r="H14" s="2" t="s">
        <v>25</v>
      </c>
      <c r="I14" s="2" t="s">
        <v>26</v>
      </c>
      <c r="J14" s="4">
        <v>100</v>
      </c>
      <c r="K14" s="2">
        <v>50</v>
      </c>
      <c r="L14" s="2">
        <v>20</v>
      </c>
      <c r="M14" s="2">
        <v>0</v>
      </c>
      <c r="N14" s="5">
        <f t="shared" si="0"/>
        <v>170</v>
      </c>
      <c r="O14" s="2">
        <v>14</v>
      </c>
      <c r="P14" s="2">
        <v>2</v>
      </c>
      <c r="Q14" s="2">
        <f t="shared" si="1"/>
        <v>96</v>
      </c>
      <c r="R14" s="2">
        <f t="shared" si="2"/>
        <v>3</v>
      </c>
      <c r="S14" s="2">
        <f t="shared" si="3"/>
        <v>24</v>
      </c>
      <c r="T14" s="5">
        <f t="shared" si="4"/>
        <v>170</v>
      </c>
      <c r="U14" s="2">
        <v>100</v>
      </c>
      <c r="V14" s="2">
        <v>70</v>
      </c>
    </row>
    <row r="15" spans="1:22" x14ac:dyDescent="0.25">
      <c r="A15" s="2">
        <f t="shared" si="5"/>
        <v>14</v>
      </c>
      <c r="B15" s="2" t="s">
        <v>22</v>
      </c>
      <c r="C15" s="2" t="s">
        <v>64</v>
      </c>
      <c r="D15" s="2" t="s">
        <v>63</v>
      </c>
      <c r="E15" s="2" t="s">
        <v>52</v>
      </c>
      <c r="F15" s="2">
        <v>6</v>
      </c>
      <c r="G15" s="2">
        <v>15</v>
      </c>
      <c r="H15" s="2" t="s">
        <v>25</v>
      </c>
      <c r="I15" s="2" t="s">
        <v>26</v>
      </c>
      <c r="J15" s="4">
        <v>100</v>
      </c>
      <c r="K15" s="2">
        <v>50</v>
      </c>
      <c r="L15" s="2">
        <v>20</v>
      </c>
      <c r="M15" s="2">
        <v>0</v>
      </c>
      <c r="N15" s="5">
        <f t="shared" si="0"/>
        <v>170</v>
      </c>
      <c r="O15" s="2">
        <v>14</v>
      </c>
      <c r="P15" s="2">
        <v>2</v>
      </c>
      <c r="Q15" s="2">
        <f t="shared" si="1"/>
        <v>96</v>
      </c>
      <c r="R15" s="2">
        <f t="shared" si="2"/>
        <v>3</v>
      </c>
      <c r="S15" s="2">
        <f t="shared" si="3"/>
        <v>24</v>
      </c>
      <c r="T15" s="5">
        <f t="shared" si="4"/>
        <v>170</v>
      </c>
      <c r="U15" s="2">
        <v>100</v>
      </c>
      <c r="V15" s="2">
        <v>70</v>
      </c>
    </row>
    <row r="16" spans="1:22" x14ac:dyDescent="0.25">
      <c r="A16" s="2">
        <f t="shared" si="5"/>
        <v>15</v>
      </c>
      <c r="B16" s="2" t="s">
        <v>22</v>
      </c>
      <c r="C16" s="2" t="s">
        <v>66</v>
      </c>
      <c r="D16" s="2" t="s">
        <v>65</v>
      </c>
      <c r="E16" s="2" t="s">
        <v>55</v>
      </c>
      <c r="F16" s="2">
        <v>6</v>
      </c>
      <c r="G16" s="2">
        <v>15</v>
      </c>
      <c r="H16" s="2" t="s">
        <v>32</v>
      </c>
      <c r="I16" s="2" t="s">
        <v>33</v>
      </c>
      <c r="J16" s="4">
        <v>100</v>
      </c>
      <c r="K16" s="2">
        <v>50</v>
      </c>
      <c r="L16" s="2">
        <v>20</v>
      </c>
      <c r="M16" s="2">
        <v>0</v>
      </c>
      <c r="N16" s="5">
        <f t="shared" si="0"/>
        <v>170</v>
      </c>
      <c r="O16" s="2">
        <v>14</v>
      </c>
      <c r="P16" s="2">
        <v>2</v>
      </c>
      <c r="Q16" s="2">
        <f t="shared" si="1"/>
        <v>96</v>
      </c>
      <c r="R16" s="2">
        <f t="shared" si="2"/>
        <v>3</v>
      </c>
      <c r="S16" s="2">
        <f t="shared" si="3"/>
        <v>24</v>
      </c>
      <c r="T16" s="5">
        <f t="shared" si="4"/>
        <v>170</v>
      </c>
      <c r="U16" s="2">
        <v>100</v>
      </c>
      <c r="V16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Rahim</dc:creator>
  <cp:lastModifiedBy>Muhammad Khizer</cp:lastModifiedBy>
  <dcterms:created xsi:type="dcterms:W3CDTF">2026-10-01T21:42:32Z</dcterms:created>
  <dcterms:modified xsi:type="dcterms:W3CDTF">2026-10-01T23:45:30Z</dcterms:modified>
</cp:coreProperties>
</file>